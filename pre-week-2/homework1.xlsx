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aniastaana\DataAnalytics\pre-week-2\"/>
    </mc:Choice>
  </mc:AlternateContent>
  <xr:revisionPtr revIDLastSave="0" documentId="8_{8CF5CD29-90B7-419E-944F-D6CAB534DE6D}" xr6:coauthVersionLast="47" xr6:coauthVersionMax="47" xr10:uidLastSave="{00000000-0000-0000-0000-000000000000}"/>
  <bookViews>
    <workbookView xWindow="1920" yWindow="1920" windowWidth="17280" windowHeight="8880" activeTab="1" xr2:uid="{B11F44AF-8627-44EA-A3F5-65B3AC6D0F03}"/>
  </bookViews>
  <sheets>
    <sheet name="Store_Data" sheetId="1" r:id="rId1"/>
    <sheet name="Store_Summary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8" i="1" l="1"/>
  <c r="E7" i="1"/>
  <c r="E5" i="1" a="1"/>
  <c r="E5" i="1" s="1"/>
  <c r="E4" i="1"/>
  <c r="E3" i="1"/>
  <c r="E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<sst xmlns="http://schemas.openxmlformats.org/spreadsheetml/2006/main" count="24" uniqueCount="24">
  <si>
    <t>Store</t>
  </si>
  <si>
    <t>Monthly
 Sales</t>
  </si>
  <si>
    <t>Store A</t>
  </si>
  <si>
    <t>Store B</t>
  </si>
  <si>
    <t>Store C</t>
  </si>
  <si>
    <t>Store D</t>
  </si>
  <si>
    <t>Store E</t>
  </si>
  <si>
    <t>Store F</t>
  </si>
  <si>
    <t>Store G</t>
  </si>
  <si>
    <t>Store H</t>
  </si>
  <si>
    <t>Store I</t>
  </si>
  <si>
    <t>Store J</t>
  </si>
  <si>
    <t>Store K</t>
  </si>
  <si>
    <t>Store L</t>
  </si>
  <si>
    <t>Mean</t>
  </si>
  <si>
    <t>Median</t>
  </si>
  <si>
    <t>Mode</t>
  </si>
  <si>
    <t>Range</t>
  </si>
  <si>
    <t>Standard 
Deviation</t>
  </si>
  <si>
    <t>Standard
Deviation (Without H)</t>
  </si>
  <si>
    <t>The overall avergae is almost 50, so I think that is a good number</t>
  </si>
  <si>
    <t>without the H anamoly, the performance was primarily tightly grouped</t>
  </si>
  <si>
    <t>H can skew the results</t>
  </si>
  <si>
    <t xml:space="preserve">I would add what the numbers represent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</si>
</sst>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3582D-5B04-469A-BA89-C97AC79EC976}">
  <dimension ref="A1:E13"/>
  <sheetViews>
    <sheetView workbookViewId="0">
      <selection activeCell="E9" sqref="E9"/>
    </sheetView>
  </sheetViews>
  <sheetFormatPr defaultRowHeight="14.4" x14ac:dyDescent="0.3"/>
  <sheetData>
    <row r="1" spans="1:5" ht="28.8" x14ac:dyDescent="0.3">
      <c r="A1" t="s">
        <v>0</v>
      </c>
      <c r="B1" s="1" t="s">
        <v>1</v>
      </c>
    </row>
    <row r="2" spans="1:5" x14ac:dyDescent="0.3">
      <c r="A2" t="s">
        <v>2</v>
      </c>
      <c r="B2">
        <v>51</v>
      </c>
      <c r="D2" t="s">
        <v>14</v>
      </c>
      <c r="E2">
        <f xml:space="preserve"> AVERAGE(B2:B13)</f>
        <v>49.416666666666664</v>
      </c>
    </row>
    <row r="3" spans="1:5" x14ac:dyDescent="0.3">
      <c r="A3" t="s">
        <v>3</v>
      </c>
      <c r="B3">
        <v>44</v>
      </c>
      <c r="D3" t="s">
        <v>15</v>
      </c>
      <c r="E3">
        <f>MEDIAN(B2:B13)</f>
        <v>47.5</v>
      </c>
    </row>
    <row r="4" spans="1:5" x14ac:dyDescent="0.3">
      <c r="A4" t="s">
        <v>4</v>
      </c>
      <c r="B4">
        <v>49</v>
      </c>
      <c r="D4" t="s">
        <v>16</v>
      </c>
      <c r="E4">
        <f>_xlfn.MODE.SNGL(B2:B13)</f>
        <v>46</v>
      </c>
    </row>
    <row r="5" spans="1:5" x14ac:dyDescent="0.3">
      <c r="A5" t="s">
        <v>5</v>
      </c>
      <c r="B5">
        <v>46</v>
      </c>
      <c r="D5" t="s">
        <v>17</v>
      </c>
      <c r="E5" cm="1">
        <f t="array" ref="E5">MAX(B2:B13-MIN(B2:B13))</f>
        <v>29</v>
      </c>
    </row>
    <row r="6" spans="1:5" x14ac:dyDescent="0.3">
      <c r="A6" t="s">
        <v>6</v>
      </c>
      <c r="B6">
        <v>52</v>
      </c>
    </row>
    <row r="7" spans="1:5" ht="28.8" x14ac:dyDescent="0.3">
      <c r="A7" t="s">
        <v>7</v>
      </c>
      <c r="B7">
        <v>47</v>
      </c>
      <c r="D7" s="1" t="s">
        <v>18</v>
      </c>
      <c r="E7">
        <f>_xlfn.STDEV.S(B2:B13)</f>
        <v>7.6331613054586773</v>
      </c>
    </row>
    <row r="8" spans="1:5" ht="57.6" x14ac:dyDescent="0.3">
      <c r="A8" t="s">
        <v>8</v>
      </c>
      <c r="B8">
        <v>45</v>
      </c>
      <c r="D8" s="1" t="s">
        <v>19</v>
      </c>
      <c r="E8">
        <f>_xlfn.STDEV.S(B2:B8,B10:B13)</f>
        <v>2.9076701075853588</v>
      </c>
    </row>
    <row r="9" spans="1:5" x14ac:dyDescent="0.3">
      <c r="A9" t="s">
        <v>9</v>
      </c>
      <c r="B9">
        <v>72</v>
      </c>
    </row>
    <row r="10" spans="1:5" x14ac:dyDescent="0.3">
      <c r="A10" t="s">
        <v>10</v>
      </c>
      <c r="B10">
        <v>43</v>
      </c>
    </row>
    <row r="11" spans="1:5" x14ac:dyDescent="0.3">
      <c r="A11" t="s">
        <v>11</v>
      </c>
      <c r="B11">
        <v>48</v>
      </c>
    </row>
    <row r="12" spans="1:5" x14ac:dyDescent="0.3">
      <c r="A12" t="s">
        <v>12</v>
      </c>
      <c r="B12">
        <v>46</v>
      </c>
    </row>
    <row r="13" spans="1:5" x14ac:dyDescent="0.3">
      <c r="A13" t="s">
        <v>13</v>
      </c>
      <c r="B13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3A048-A127-4427-AAA7-D574F6CA3606}">
  <dimension ref="A1:A4"/>
  <sheetViews>
    <sheetView tabSelected="1" workbookViewId="0">
      <selection activeCell="A5" sqref="A5"/>
    </sheetView>
  </sheetViews>
  <sheetFormatPr defaultRowHeight="14.4" x14ac:dyDescent="0.3"/>
  <sheetData>
    <row r="1" spans="1:1" x14ac:dyDescent="0.3">
      <c r="A1" t="s">
        <v>20</v>
      </c>
    </row>
    <row r="2" spans="1:1" x14ac:dyDescent="0.3">
      <c r="A2" t="s">
        <v>21</v>
      </c>
    </row>
    <row r="3" spans="1:1" x14ac:dyDescent="0.3">
      <c r="A3" t="s">
        <v>22</v>
      </c>
    </row>
    <row r="4" spans="1:1" x14ac:dyDescent="0.3">
      <c r="A4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Store_Data</vt:lpstr>
      <vt:lpstr>Store_Summary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thania staana</dc:creator>
  <cp:lastModifiedBy>thania staana</cp:lastModifiedBy>
  <dcterms:created xsi:type="dcterms:W3CDTF">2026-10-02T20:53:11Z</dcterms:created>
  <dcterms:modified xsi:type="dcterms:W3CDTF">2026-10-02T21:11:49Z</dcterms:modified>
</cp:coreProperties>
</file>