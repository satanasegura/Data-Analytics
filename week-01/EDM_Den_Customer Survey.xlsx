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aniastaana\DataAnalytics\week-01\"/>
    </mc:Choice>
  </mc:AlternateContent>
  <xr:revisionPtr revIDLastSave="0" documentId="8_{5EE98C33-A6A0-4A28-8FBB-A7B7489DE7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w Often" sheetId="4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1048576" i="1" s="1"/>
  <c r="D2" i="1"/>
  <c r="D3" i="1"/>
  <c r="D4" i="1"/>
  <c r="D5" i="1"/>
  <c r="D6" i="1"/>
</calcChain>
</file>

<file path=xl/sharedStrings.xml><?xml version="1.0" encoding="utf-8"?>
<sst xmlns="http://schemas.openxmlformats.org/spreadsheetml/2006/main" count="65" uniqueCount="41">
  <si>
    <t>ID</t>
  </si>
  <si>
    <t>Start time</t>
  </si>
  <si>
    <t>Completion time</t>
  </si>
  <si>
    <t>Email</t>
  </si>
  <si>
    <t>Name</t>
  </si>
  <si>
    <t>Last modified time</t>
  </si>
  <si>
    <t>How often do you come to EDM Den?</t>
  </si>
  <si>
    <t>What type of EDM genre do you enjoy most?</t>
  </si>
  <si>
    <t>Do you go to other clubs?</t>
  </si>
  <si>
    <t>What other clubs do you go to, if yes?</t>
  </si>
  <si>
    <t>How late do you stay out in EDM Den?</t>
  </si>
  <si>
    <t>Would you recommend people to come to EDM Den?</t>
  </si>
  <si>
    <t>Would you like to promote EDM Den for commission?</t>
  </si>
  <si>
    <t>anonymous</t>
  </si>
  <si>
    <t>Monthly</t>
  </si>
  <si>
    <t>I do not enjoy EDM, EDM sucks, you should listen to country! The better version of Music, not whatever this travesty is! (All Jokes U_U)</t>
  </si>
  <si>
    <t>No</t>
  </si>
  <si>
    <t>N/A</t>
  </si>
  <si>
    <t>1-2 Hours Before Closing</t>
  </si>
  <si>
    <t>Daily</t>
  </si>
  <si>
    <t>Dark Wave</t>
  </si>
  <si>
    <t>You are my one and only !</t>
  </si>
  <si>
    <t>Till Closing</t>
  </si>
  <si>
    <t>Yes</t>
  </si>
  <si>
    <t>Seasonal</t>
  </si>
  <si>
    <t>House</t>
  </si>
  <si>
    <t>Slate</t>
  </si>
  <si>
    <t>Japanese EDM</t>
  </si>
  <si>
    <t>This question is required, even if you select no</t>
  </si>
  <si>
    <t>Earlier</t>
  </si>
  <si>
    <t>Never</t>
  </si>
  <si>
    <t xml:space="preserve">House </t>
  </si>
  <si>
    <t>n/a</t>
  </si>
  <si>
    <t>ID represents the person who did the survey. The start time is when they started it--date and time and then the completion time. I think ID was used to track their answers in other surveys so we can do more analysis on the ID.</t>
  </si>
  <si>
    <t>when you chage to short date, the time is taken away and only the date was saved</t>
  </si>
  <si>
    <t>it turns into decimals when you click back to general</t>
  </si>
  <si>
    <t>Time to complete</t>
  </si>
  <si>
    <t>Because there was 4 "Yes" and 1 "No" to recommend, it is somewhat likely</t>
  </si>
  <si>
    <t>Row Labels</t>
  </si>
  <si>
    <t>Grand Total</t>
  </si>
  <si>
    <t>Count of How often do you come to EDM 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</si>
</sst>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/d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45" fontId="0" fillId="0" borderId="0" xfId="0" applyNumberFormat="1"/>
    <xf numFmtId="45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/d/yyyy\ h:mm:ss"/>
    </dxf>
    <dxf>
      <numFmt numFmtId="166" formatCode="m/d/yyyy\ h:mm:ss"/>
    </dxf>
    <dxf>
      <numFmt numFmtId="0" formatCode="General"/>
    </dxf>
    <dxf>
      <numFmt numFmtId="28" formatCode="mm:ss"/>
    </dxf>
    <dxf>
      <numFmt numFmtId="166" formatCode="m/d/yyyy\ h:mm:ss"/>
    </dxf>
    <dxf>
      <numFmt numFmtId="166" formatCode="m/d/yy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[EDM_Den_Customer Survey.xlsx]How Often!PivotTable2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'How Often'!$B$3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Often'!$A$4:$A$8</c:f>
              <c:strCache>
                <c:ptCount val="4"/>
                <c:pt idx="0">
                  <c:v>Daily</c:v>
                </c:pt>
                <c:pt idx="1">
                  <c:v>Monthly</c:v>
                </c:pt>
                <c:pt idx="2">
                  <c:v>Never</c:v>
                </c:pt>
                <c:pt idx="3">
                  <c:v>Seasonal</c:v>
                </c:pt>
              </c:strCache>
            </c:strRef>
          </c:cat>
          <c:val>
            <c:numRef>
              <c:f>'How Often'!$B$4:$B$8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5-498C-98F2-423368A68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95504"/>
        <c:axId val="1975023520"/>
      </c:barChart>
      <c:catAx>
        <c:axId val="19765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23520"/>
        <c:crosses val="autoZero"/>
        <c:auto val="1"/>
        <c:lblAlgn val="ctr"/>
        <c:lblOffset val="100"/>
        <c:noMultiLvlLbl val="0"/>
      </c:catAx>
      <c:valAx>
        <c:axId val="19750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156210</xdr:rowOff>
    </xdr:from>
    <xdr:to>
      <xdr:col>6</xdr:col>
      <xdr:colOff>114300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6DD57-C9AA-2707-45EC-16A5B558E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ia staana" refreshedDate="46313.901395023146" createdVersion="8" refreshedVersion="8" minRefreshableVersion="3" recordCount="5" xr:uid="{5B9C1B2A-3F4F-47EA-91D2-BB34C1E44E45}">
  <cacheSource type="worksheet">
    <worksheetSource name="Table1"/>
  </cacheSource>
  <cacheFields count="14">
    <cacheField name="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tart time" numFmtId="166">
      <sharedItems containsSemiMixedTypes="0" containsNonDate="0" containsDate="1" containsString="0" minDate="2026-10-14T21:11:26" maxDate="2026-10-16T22:55:25"/>
    </cacheField>
    <cacheField name="Completion time" numFmtId="166">
      <sharedItems containsSemiMixedTypes="0" containsNonDate="0" containsDate="1" containsString="0" minDate="2026-10-14T21:12:53" maxDate="2026-10-16T23:00:08"/>
    </cacheField>
    <cacheField name="Time to complete" numFmtId="45">
      <sharedItems containsSemiMixedTypes="0" containsNonDate="0" containsDate="1" containsString="0" minDate="1899-12-30T00:01:09" maxDate="1899-12-30T00:06:53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How often do you come to EDM Den?" numFmtId="0">
      <sharedItems count="4">
        <s v="Monthly"/>
        <s v="Daily"/>
        <s v="Seasonal"/>
        <s v="Never"/>
      </sharedItems>
    </cacheField>
    <cacheField name="What type of EDM genre do you enjoy most?" numFmtId="0">
      <sharedItems/>
    </cacheField>
    <cacheField name="Do you go to other clubs?" numFmtId="0">
      <sharedItems/>
    </cacheField>
    <cacheField name="What other clubs do you go to, if yes?" numFmtId="0">
      <sharedItems/>
    </cacheField>
    <cacheField name="How late do you stay out in EDM Den?" numFmtId="0">
      <sharedItems/>
    </cacheField>
    <cacheField name="Would you recommend people to come to EDM Den?" numFmtId="0">
      <sharedItems/>
    </cacheField>
    <cacheField name="Would you like to promote EDM Den for commission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d v="2026-10-14T21:11:26"/>
    <d v="2026-10-14T21:12:53"/>
    <d v="1899-12-30T00:01:27"/>
    <s v="anonymous"/>
    <m/>
    <m/>
    <x v="0"/>
    <s v="I do not enjoy EDM, EDM sucks, you should listen to country! The better version of Music, not whatever this travesty is! (All Jokes U_U)"/>
    <s v="No"/>
    <s v="N/A"/>
    <s v="1-2 Hours Before Closing"/>
    <s v="No"/>
    <s v="No"/>
  </r>
  <r>
    <x v="1"/>
    <d v="2026-10-15T11:19:10"/>
    <d v="2026-10-15T11:26:03"/>
    <d v="1899-12-30T00:06:53"/>
    <s v="anonymous"/>
    <m/>
    <m/>
    <x v="1"/>
    <s v="Dark Wave"/>
    <s v="No"/>
    <s v="You are my one and only !"/>
    <s v="Till Closing"/>
    <s v="Yes"/>
    <s v="Yes"/>
  </r>
  <r>
    <x v="2"/>
    <d v="2026-10-16T13:30:05"/>
    <d v="2026-10-16T13:31:59"/>
    <d v="1899-12-30T00:01:54"/>
    <s v="anonymous"/>
    <m/>
    <m/>
    <x v="2"/>
    <s v="House"/>
    <s v="Yes"/>
    <s v="Slate"/>
    <s v="1-2 Hours Before Closing"/>
    <s v="Yes"/>
    <s v="No"/>
  </r>
  <r>
    <x v="3"/>
    <d v="2026-10-16T16:39:06"/>
    <d v="2026-10-16T16:40:15"/>
    <d v="1899-12-30T00:01:09"/>
    <s v="anonymous"/>
    <m/>
    <m/>
    <x v="0"/>
    <s v="Japanese EDM"/>
    <s v="No"/>
    <s v="This question is required, even if you select no"/>
    <s v="Earlier"/>
    <s v="Yes"/>
    <s v="No"/>
  </r>
  <r>
    <x v="4"/>
    <d v="2026-10-16T22:55:25"/>
    <d v="2026-10-16T23:00:08"/>
    <d v="1899-12-30T00:04:43"/>
    <s v="anonymous"/>
    <m/>
    <m/>
    <x v="3"/>
    <s v="House "/>
    <s v="No"/>
    <s v="N/A"/>
    <s v="1-2 Hours Before Closing"/>
    <s v="Yes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AC16A-3BF1-47AA-B542-6C2B63BD09F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4">
    <pivotField showAll="0">
      <items count="6">
        <item x="0"/>
        <item x="1"/>
        <item x="2"/>
        <item x="3"/>
        <item x="4"/>
        <item t="default"/>
      </items>
    </pivotField>
    <pivotField numFmtId="166" showAll="0"/>
    <pivotField numFmtId="166" showAll="0"/>
    <pivotField numFmtId="45" showAll="0"/>
    <pivotField showAll="0"/>
    <pivotField showAll="0"/>
    <pivotField showAll="0"/>
    <pivotField axis="axisRow" dataField="1" multipleItemSelectionAllowed="1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often do you come to EDM Den?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" totalsRowCount="1">
  <autoFilter ref="A1:N6" xr:uid="{00000000-0009-0000-0100-000001000000}"/>
  <tableColumns count="14">
    <tableColumn id="1" xr3:uid="{00000000-0010-0000-0000-000001000000}" name="ID" dataDxfId="17" totalsRowDxfId="13"/>
    <tableColumn id="2" xr3:uid="{00000000-0010-0000-0000-000002000000}" name="Start time" dataDxfId="16" totalsRowDxfId="12"/>
    <tableColumn id="3" xr3:uid="{00000000-0010-0000-0000-000003000000}" name="Completion time" dataDxfId="15" totalsRowDxfId="11"/>
    <tableColumn id="14" xr3:uid="{DE5568D2-8B1A-4F57-9AAA-0B859556F0EB}" name="Time to complete" totalsRowFunction="custom" dataDxfId="14" totalsRowDxfId="10">
      <calculatedColumnFormula>C2-B2</calculatedColumnFormula>
      <totalsRowFormula>AVERAGE(Table1[Time to complete])</totalsRowFormula>
    </tableColumn>
    <tableColumn id="4" xr3:uid="{00000000-0010-0000-0000-000004000000}" name="Email" dataDxfId="27" totalsRowDxfId="9"/>
    <tableColumn id="5" xr3:uid="{00000000-0010-0000-0000-000005000000}" name="Name" dataDxfId="26" totalsRowDxfId="8"/>
    <tableColumn id="6" xr3:uid="{00000000-0010-0000-0000-000006000000}" name="Last modified time" dataDxfId="25" totalsRowDxfId="7"/>
    <tableColumn id="7" xr3:uid="{00000000-0010-0000-0000-000007000000}" name="How often do you come to EDM Den?" dataDxfId="24" totalsRowDxfId="6"/>
    <tableColumn id="8" xr3:uid="{00000000-0010-0000-0000-000008000000}" name="What type of EDM genre do you enjoy most?" dataDxfId="23" totalsRowDxfId="5"/>
    <tableColumn id="9" xr3:uid="{00000000-0010-0000-0000-000009000000}" name="Do you go to other clubs?" dataDxfId="22" totalsRowDxfId="4"/>
    <tableColumn id="10" xr3:uid="{00000000-0010-0000-0000-00000A000000}" name="What other clubs do you go to, if yes?" dataDxfId="21" totalsRowDxfId="3"/>
    <tableColumn id="11" xr3:uid="{00000000-0010-0000-0000-00000B000000}" name="How late do you stay out in EDM Den?" dataDxfId="20" totalsRowDxfId="2"/>
    <tableColumn id="12" xr3:uid="{00000000-0010-0000-0000-00000C000000}" name="Would you recommend people to come to EDM Den?" totalsRowLabel="Because there was 4 &quot;Yes&quot; and 1 &quot;No&quot; to recommend, it is somewhat likely" dataDxfId="19" totalsRowDxfId="0"/>
    <tableColumn id="13" xr3:uid="{00000000-0010-0000-0000-00000D000000}" name="Would you like to promote EDM Den for commission?" dataDxfId="1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76"/>
  <sheetViews>
    <sheetView topLeftCell="B1" workbookViewId="0">
      <selection sqref="A1:N6"/>
    </sheetView>
  </sheetViews>
  <sheetFormatPr defaultRowHeight="14.4" x14ac:dyDescent="0.3"/>
  <cols>
    <col min="1" max="1" width="20" bestFit="1" customWidth="1"/>
    <col min="2" max="2" width="20" style="5" bestFit="1" customWidth="1"/>
    <col min="3" max="3" width="20" bestFit="1" customWidth="1"/>
    <col min="4" max="4" width="20" style="7" customWidth="1"/>
    <col min="5" max="14" width="20" bestFit="1" customWidth="1"/>
  </cols>
  <sheetData>
    <row r="1" spans="1:14" x14ac:dyDescent="0.3">
      <c r="A1" t="s">
        <v>0</v>
      </c>
      <c r="B1" s="5" t="s">
        <v>1</v>
      </c>
      <c r="C1" s="5" t="s">
        <v>2</v>
      </c>
      <c r="D1" s="7" t="s">
        <v>36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s="5">
        <v>46309.882939814815</v>
      </c>
      <c r="C2" s="5">
        <v>46309.883946759262</v>
      </c>
      <c r="D2" s="7">
        <f t="shared" ref="D2:D6" si="0">C2-B2</f>
        <v>1.006944446999114E-3</v>
      </c>
      <c r="E2" t="s">
        <v>13</v>
      </c>
      <c r="G2" s="1"/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16</v>
      </c>
      <c r="N2" t="s">
        <v>16</v>
      </c>
    </row>
    <row r="3" spans="1:14" x14ac:dyDescent="0.3">
      <c r="A3">
        <v>2</v>
      </c>
      <c r="B3" s="5">
        <v>46310.471643518518</v>
      </c>
      <c r="C3" s="5">
        <v>46310.476423611108</v>
      </c>
      <c r="D3" s="7">
        <f t="shared" si="0"/>
        <v>4.7800925894989632E-3</v>
      </c>
      <c r="E3" t="s">
        <v>13</v>
      </c>
      <c r="G3" s="1"/>
      <c r="H3" t="s">
        <v>19</v>
      </c>
      <c r="I3" t="s">
        <v>20</v>
      </c>
      <c r="J3" t="s">
        <v>16</v>
      </c>
      <c r="K3" t="s">
        <v>21</v>
      </c>
      <c r="L3" t="s">
        <v>22</v>
      </c>
      <c r="M3" t="s">
        <v>23</v>
      </c>
      <c r="N3" t="s">
        <v>23</v>
      </c>
    </row>
    <row r="4" spans="1:14" x14ac:dyDescent="0.3">
      <c r="A4">
        <v>3</v>
      </c>
      <c r="B4" s="5">
        <v>46311.562557870369</v>
      </c>
      <c r="C4" s="5">
        <v>46311.563877314817</v>
      </c>
      <c r="D4" s="7">
        <f t="shared" si="0"/>
        <v>1.3194444472901523E-3</v>
      </c>
      <c r="E4" t="s">
        <v>13</v>
      </c>
      <c r="G4" s="1"/>
      <c r="H4" t="s">
        <v>24</v>
      </c>
      <c r="I4" t="s">
        <v>25</v>
      </c>
      <c r="J4" t="s">
        <v>23</v>
      </c>
      <c r="K4" t="s">
        <v>26</v>
      </c>
      <c r="L4" t="s">
        <v>18</v>
      </c>
      <c r="M4" t="s">
        <v>23</v>
      </c>
      <c r="N4" t="s">
        <v>16</v>
      </c>
    </row>
    <row r="5" spans="1:14" x14ac:dyDescent="0.3">
      <c r="A5">
        <v>4</v>
      </c>
      <c r="B5" s="5">
        <v>46311.693819444445</v>
      </c>
      <c r="C5" s="5">
        <v>46311.694618055553</v>
      </c>
      <c r="D5" s="7">
        <f t="shared" si="0"/>
        <v>7.9861110862111673E-4</v>
      </c>
      <c r="E5" t="s">
        <v>13</v>
      </c>
      <c r="G5" s="1"/>
      <c r="H5" t="s">
        <v>14</v>
      </c>
      <c r="I5" t="s">
        <v>27</v>
      </c>
      <c r="J5" t="s">
        <v>16</v>
      </c>
      <c r="K5" t="s">
        <v>28</v>
      </c>
      <c r="L5" t="s">
        <v>29</v>
      </c>
      <c r="M5" t="s">
        <v>23</v>
      </c>
      <c r="N5" t="s">
        <v>16</v>
      </c>
    </row>
    <row r="6" spans="1:14" x14ac:dyDescent="0.3">
      <c r="A6">
        <v>5</v>
      </c>
      <c r="B6" s="5">
        <v>46311.955150462964</v>
      </c>
      <c r="C6" s="5">
        <v>46311.958425925928</v>
      </c>
      <c r="D6" s="7">
        <f t="shared" si="0"/>
        <v>3.275462964666076E-3</v>
      </c>
      <c r="E6" t="s">
        <v>13</v>
      </c>
      <c r="G6" s="1"/>
      <c r="H6" t="s">
        <v>30</v>
      </c>
      <c r="I6" t="s">
        <v>31</v>
      </c>
      <c r="J6" t="s">
        <v>16</v>
      </c>
      <c r="K6" t="s">
        <v>32</v>
      </c>
      <c r="L6" t="s">
        <v>18</v>
      </c>
      <c r="M6" t="s">
        <v>23</v>
      </c>
      <c r="N6" t="s">
        <v>16</v>
      </c>
    </row>
    <row r="7" spans="1:14" ht="57.6" x14ac:dyDescent="0.3">
      <c r="A7" s="3"/>
      <c r="C7" s="5"/>
      <c r="D7" s="7">
        <f>AVERAGE(Table1[Time to complete])</f>
        <v>2.2361111114150845E-3</v>
      </c>
      <c r="E7" s="3"/>
      <c r="F7" s="3"/>
      <c r="G7" s="1"/>
      <c r="H7" s="3"/>
      <c r="I7" s="3"/>
      <c r="J7" s="3"/>
      <c r="K7" s="3"/>
      <c r="L7" s="3"/>
      <c r="M7" s="4" t="s">
        <v>37</v>
      </c>
      <c r="N7" s="3"/>
    </row>
    <row r="8" spans="1:14" ht="158.4" x14ac:dyDescent="0.3">
      <c r="A8" s="2" t="s">
        <v>33</v>
      </c>
      <c r="B8" s="6" t="s">
        <v>34</v>
      </c>
      <c r="C8" s="2" t="s">
        <v>35</v>
      </c>
      <c r="D8" s="8"/>
    </row>
    <row r="1048576" spans="4:4" x14ac:dyDescent="0.3">
      <c r="D1048576" s="7">
        <f>AVERAGE(D2:D1048575)</f>
        <v>2.2361111114150845E-3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F6D1-6B17-4922-99FB-BBD492944512}">
  <dimension ref="A3:B8"/>
  <sheetViews>
    <sheetView tabSelected="1" workbookViewId="0">
      <selection activeCell="E28" sqref="E28"/>
    </sheetView>
  </sheetViews>
  <sheetFormatPr defaultRowHeight="14.4" x14ac:dyDescent="0.3"/>
  <cols>
    <col min="1" max="1" width="12.5546875" bestFit="1" customWidth="1"/>
    <col min="2" max="2" width="41.109375" bestFit="1" customWidth="1"/>
    <col min="3" max="3" width="42.21875" bestFit="1" customWidth="1"/>
    <col min="4" max="4" width="6" bestFit="1" customWidth="1"/>
    <col min="5" max="5" width="8.44140625" bestFit="1" customWidth="1"/>
    <col min="6" max="6" width="10.77734375" bestFit="1" customWidth="1"/>
  </cols>
  <sheetData>
    <row r="3" spans="1:2" x14ac:dyDescent="0.3">
      <c r="A3" s="9" t="s">
        <v>38</v>
      </c>
      <c r="B3" t="s">
        <v>40</v>
      </c>
    </row>
    <row r="4" spans="1:2" x14ac:dyDescent="0.3">
      <c r="A4" s="10" t="s">
        <v>19</v>
      </c>
      <c r="B4" s="3">
        <v>1</v>
      </c>
    </row>
    <row r="5" spans="1:2" x14ac:dyDescent="0.3">
      <c r="A5" s="10" t="s">
        <v>14</v>
      </c>
      <c r="B5" s="3">
        <v>2</v>
      </c>
    </row>
    <row r="6" spans="1:2" x14ac:dyDescent="0.3">
      <c r="A6" s="10" t="s">
        <v>30</v>
      </c>
      <c r="B6" s="3">
        <v>1</v>
      </c>
    </row>
    <row r="7" spans="1:2" x14ac:dyDescent="0.3">
      <c r="A7" s="10" t="s">
        <v>24</v>
      </c>
      <c r="B7" s="3">
        <v>1</v>
      </c>
    </row>
    <row r="8" spans="1:2" x14ac:dyDescent="0.3">
      <c r="A8" s="10" t="s">
        <v>39</v>
      </c>
      <c r="B8" s="3">
        <v>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How Often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thania staana</dc:creator>
  <cp:lastModifiedBy>thania staana</cp:lastModifiedBy>
  <dcterms:created xsi:type="dcterms:W3CDTF">2026-10-19T01:06:22Z</dcterms:created>
  <dcterms:modified xsi:type="dcterms:W3CDTF">2026-10-19T01:44:48Z</dcterms:modified>
</cp:coreProperties>
</file>